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C89760C79665/Documents/"/>
    </mc:Choice>
  </mc:AlternateContent>
  <xr:revisionPtr revIDLastSave="11" documentId="8_{70FE028F-EA1E-4DF8-9185-DA068BDA33A0}" xr6:coauthVersionLast="47" xr6:coauthVersionMax="47" xr10:uidLastSave="{47262832-B55A-4E50-9852-67C33C53CDF0}"/>
  <bookViews>
    <workbookView xWindow="-108" yWindow="-108" windowWidth="23256" windowHeight="12456" xr2:uid="{D434F328-942D-4873-93A5-1E79ADE5633B}"/>
  </bookViews>
  <sheets>
    <sheet name="Raw Data" sheetId="1" r:id="rId1"/>
    <sheet name="Analysis" sheetId="2" r:id="rId2"/>
    <sheet name="Forecast" sheetId="3" r:id="rId3"/>
    <sheet name="Dashboard" sheetId="4" r:id="rId4"/>
    <sheet name="Sourc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4"/>
  <c r="B2" i="3"/>
  <c r="B3" i="3"/>
  <c r="C3" i="3"/>
  <c r="B4" i="3"/>
  <c r="C4" i="3"/>
  <c r="C5" i="3"/>
  <c r="E5" i="3"/>
  <c r="E6" i="3" s="1"/>
  <c r="C16" i="4"/>
  <c r="C15" i="4"/>
  <c r="C14" i="4"/>
  <c r="B16" i="4"/>
  <c r="B15" i="4"/>
  <c r="B14" i="4"/>
  <c r="B10" i="4"/>
  <c r="B9" i="4"/>
  <c r="B8" i="4"/>
  <c r="B7" i="4"/>
  <c r="B5" i="4"/>
  <c r="B2" i="2"/>
  <c r="H4" i="2"/>
  <c r="H3" i="2"/>
  <c r="H2" i="2"/>
  <c r="G4" i="2"/>
  <c r="G3" i="2"/>
  <c r="G2" i="2"/>
  <c r="F4" i="2"/>
  <c r="F3" i="2"/>
  <c r="F2" i="2"/>
  <c r="E4" i="2"/>
  <c r="E3" i="2"/>
  <c r="E2" i="2"/>
  <c r="C3" i="2"/>
  <c r="D4" i="2"/>
  <c r="D3" i="2"/>
  <c r="D2" i="2"/>
  <c r="B4" i="2"/>
  <c r="B3" i="2"/>
  <c r="L2" i="1"/>
  <c r="L4" i="1"/>
  <c r="L3" i="1"/>
  <c r="K2" i="1"/>
  <c r="K4" i="1"/>
  <c r="K3" i="1"/>
  <c r="J4" i="1"/>
  <c r="J3" i="1"/>
  <c r="J2" i="1"/>
  <c r="E4" i="1"/>
  <c r="E3" i="1"/>
  <c r="E2" i="1"/>
  <c r="C3" i="1"/>
  <c r="B6" i="4" l="1"/>
  <c r="C4" i="2"/>
  <c r="D5" i="3"/>
  <c r="C6" i="3"/>
  <c r="B20" i="4" l="1"/>
  <c r="F5" i="3"/>
  <c r="C20" i="4" s="1"/>
  <c r="D6" i="3"/>
  <c r="B21" i="4" l="1"/>
  <c r="F6" i="3"/>
  <c r="C21" i="4" s="1"/>
</calcChain>
</file>

<file path=xl/sharedStrings.xml><?xml version="1.0" encoding="utf-8"?>
<sst xmlns="http://schemas.openxmlformats.org/spreadsheetml/2006/main" count="91" uniqueCount="63">
  <si>
    <t>Financial Year</t>
  </si>
  <si>
    <t>Revenue (₹ Cr)</t>
  </si>
  <si>
    <t>Revenue Growth (%)</t>
  </si>
  <si>
    <t>Net Profit (₹ Cr)</t>
  </si>
  <si>
    <t>Net Profit Margin (%)</t>
  </si>
  <si>
    <t>Total Assets (₹ Cr)</t>
  </si>
  <si>
    <t>Total Equity (₹ Cr)</t>
  </si>
  <si>
    <t>Current Assets (₹ Cr)</t>
  </si>
  <si>
    <t>Current Liabilities (₹ Cr)</t>
  </si>
  <si>
    <t>Current Ratio (x)</t>
  </si>
  <si>
    <t>ROA (%)</t>
  </si>
  <si>
    <t>ROE (%)</t>
  </si>
  <si>
    <t>FY2024</t>
  </si>
  <si>
    <t>FY2025</t>
  </si>
  <si>
    <t>FY2026</t>
  </si>
  <si>
    <t>Revenue Growth</t>
  </si>
  <si>
    <t>Profitability</t>
  </si>
  <si>
    <t>Liquidity</t>
  </si>
  <si>
    <t>Return on Assets</t>
  </si>
  <si>
    <t>Return on Equity</t>
  </si>
  <si>
    <t>Revenue growth improved from 6.06% in FY2025 to 9.61% in FY2026.</t>
  </si>
  <si>
    <t>Net profit margin declined from 17.08% in FY2024 to 16.41% in FY2025, before improving slightly to 16.50% in FY2026.</t>
  </si>
  <si>
    <t>Current ratio declined from 2.31x to 1.98x, indicating a reduction in short-term liquidity.</t>
  </si>
  <si>
    <t>ROA declined from 19.05% to 17.97% and then improved to 18.90% in FY2026.</t>
  </si>
  <si>
    <t>ROE declined in FY2025 but increased to 31.59% in FY2026, indicating improved returns to shareholders.</t>
  </si>
  <si>
    <t>Key Financial Findings</t>
  </si>
  <si>
    <t>Growth Rate (%)</t>
  </si>
  <si>
    <t>Forecast Revenue (₹ Cr)</t>
  </si>
  <si>
    <t>Forecast Net Profit (₹ Cr)</t>
  </si>
  <si>
    <t>FY2027E</t>
  </si>
  <si>
    <t>FY2028E</t>
  </si>
  <si>
    <t>Infosys Financial Analysis Dashboard</t>
  </si>
  <si>
    <t>Key Financial Metrics</t>
  </si>
  <si>
    <t>Revenue FY2026</t>
  </si>
  <si>
    <t>Net Profit FY2026</t>
  </si>
  <si>
    <t>Revenue Growth FY2026</t>
  </si>
  <si>
    <t>Net Profit Margin FY2026</t>
  </si>
  <si>
    <t>Current Ratio FY2026</t>
  </si>
  <si>
    <t>ROA FY2026</t>
  </si>
  <si>
    <t>ROE FY2026</t>
  </si>
  <si>
    <t>Revenue &amp; Profitability Trend</t>
  </si>
  <si>
    <t>Revenue Forecast</t>
  </si>
  <si>
    <t>Key Takeaways</t>
  </si>
  <si>
    <t>Revenue increased from ₹1,53,670 Cr in FY2024 to ₹1,78,650 Cr in FY2026.</t>
  </si>
  <si>
    <t>Revenue growth improved to 9.61% in FY2026.</t>
  </si>
  <si>
    <t>Net profit increased to ₹29,474 Cr in FY2026.</t>
  </si>
  <si>
    <t>ROE improved to 31.59% in FY2026.</t>
  </si>
  <si>
    <t>Forecast revenue is ₹1,92,650 Cr for FY2027E and ₹2,07,747 Cr for FY2028E.</t>
  </si>
  <si>
    <t>Sources &amp; Methodology</t>
  </si>
  <si>
    <t>Company</t>
  </si>
  <si>
    <t>Infosys Limited</t>
  </si>
  <si>
    <t>Financial Basis</t>
  </si>
  <si>
    <t>Consolidated IFRS, INR (₹ crore)</t>
  </si>
  <si>
    <t>Historical Period</t>
  </si>
  <si>
    <t>FY2024–FY2026</t>
  </si>
  <si>
    <t>Official Financial Data</t>
  </si>
  <si>
    <t>Infosys 3-Year Overview / Financial Data</t>
  </si>
  <si>
    <t>Annual Report</t>
  </si>
  <si>
    <t>Infosys Annual Report 2025-26</t>
  </si>
  <si>
    <t>Forecast Method</t>
  </si>
  <si>
    <t>Average of FY2025 and FY2026 revenue growth</t>
  </si>
  <si>
    <t>Forecast Profit Method</t>
  </si>
  <si>
    <t>Average net profit margin of FY2024–FY2026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</si>
</sst>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wrapText="1"/>
    </xf>
    <xf numFmtId="9" fontId="0" fillId="0" borderId="0" xfId="2" applyFont="1" applyAlignment="1">
      <alignment wrapText="1"/>
    </xf>
    <xf numFmtId="10" fontId="0" fillId="0" borderId="0" xfId="2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4" fontId="0" fillId="0" borderId="1" xfId="1" applyNumberFormat="1" applyFont="1" applyBorder="1"/>
    <xf numFmtId="0" fontId="2" fillId="3" borderId="1" xfId="0" applyFont="1" applyFill="1" applyBorder="1"/>
    <xf numFmtId="0" fontId="6" fillId="6" borderId="6" xfId="0" applyFont="1" applyFill="1" applyBorder="1"/>
    <xf numFmtId="0" fontId="6" fillId="6" borderId="7" xfId="0" applyFont="1" applyFill="1" applyBorder="1"/>
    <xf numFmtId="0" fontId="0" fillId="4" borderId="8" xfId="0" applyFill="1" applyBorder="1"/>
    <xf numFmtId="9" fontId="0" fillId="4" borderId="8" xfId="0" applyNumberFormat="1" applyFill="1" applyBorder="1"/>
    <xf numFmtId="0" fontId="0" fillId="4" borderId="9" xfId="0" applyFill="1" applyBorder="1"/>
    <xf numFmtId="0" fontId="0" fillId="0" borderId="6" xfId="0" applyBorder="1"/>
    <xf numFmtId="10" fontId="0" fillId="0" borderId="6" xfId="0" applyNumberFormat="1" applyBorder="1"/>
    <xf numFmtId="0" fontId="0" fillId="0" borderId="7" xfId="0" applyBorder="1"/>
    <xf numFmtId="0" fontId="0" fillId="4" borderId="6" xfId="0" applyFill="1" applyBorder="1"/>
    <xf numFmtId="10" fontId="0" fillId="4" borderId="6" xfId="0" applyNumberFormat="1" applyFill="1" applyBorder="1"/>
    <xf numFmtId="0" fontId="0" fillId="4" borderId="7" xfId="0" applyFill="1" applyBorder="1"/>
    <xf numFmtId="0" fontId="2" fillId="3" borderId="6" xfId="0" applyFont="1" applyFill="1" applyBorder="1"/>
    <xf numFmtId="10" fontId="2" fillId="3" borderId="6" xfId="0" applyNumberFormat="1" applyFont="1" applyFill="1" applyBorder="1"/>
    <xf numFmtId="164" fontId="2" fillId="3" borderId="6" xfId="1" applyNumberFormat="1" applyFont="1" applyFill="1" applyBorder="1" applyAlignment="1"/>
    <xf numFmtId="164" fontId="2" fillId="3" borderId="7" xfId="1" applyNumberFormat="1" applyFont="1" applyFill="1" applyBorder="1" applyAlignment="1"/>
    <xf numFmtId="0" fontId="2" fillId="3" borderId="10" xfId="0" applyFont="1" applyFill="1" applyBorder="1"/>
    <xf numFmtId="10" fontId="2" fillId="3" borderId="10" xfId="0" applyNumberFormat="1" applyFont="1" applyFill="1" applyBorder="1"/>
    <xf numFmtId="164" fontId="2" fillId="3" borderId="10" xfId="1" applyNumberFormat="1" applyFont="1" applyFill="1" applyBorder="1" applyAlignment="1"/>
    <xf numFmtId="164" fontId="2" fillId="3" borderId="2" xfId="1" applyNumberFormat="1" applyFont="1" applyFill="1" applyBorder="1" applyAlignment="1"/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4" borderId="5" xfId="0" applyFill="1" applyBorder="1"/>
    <xf numFmtId="9" fontId="0" fillId="4" borderId="5" xfId="0" applyNumberFormat="1" applyFill="1" applyBorder="1"/>
    <xf numFmtId="10" fontId="0" fillId="4" borderId="5" xfId="0" applyNumberFormat="1" applyFill="1" applyBorder="1"/>
    <xf numFmtId="2" fontId="0" fillId="4" borderId="5" xfId="0" applyNumberFormat="1" applyFill="1" applyBorder="1"/>
    <xf numFmtId="10" fontId="0" fillId="4" borderId="4" xfId="0" applyNumberFormat="1" applyFill="1" applyBorder="1"/>
    <xf numFmtId="0" fontId="0" fillId="0" borderId="5" xfId="0" applyBorder="1"/>
    <xf numFmtId="10" fontId="0" fillId="0" borderId="5" xfId="0" applyNumberFormat="1" applyBorder="1"/>
    <xf numFmtId="2" fontId="0" fillId="0" borderId="5" xfId="0" applyNumberFormat="1" applyBorder="1"/>
    <xf numFmtId="10" fontId="0" fillId="0" borderId="4" xfId="0" applyNumberFormat="1" applyBorder="1"/>
    <xf numFmtId="0" fontId="0" fillId="4" borderId="3" xfId="0" applyFill="1" applyBorder="1"/>
    <xf numFmtId="10" fontId="0" fillId="4" borderId="3" xfId="0" applyNumberFormat="1" applyFill="1" applyBorder="1"/>
    <xf numFmtId="2" fontId="0" fillId="4" borderId="3" xfId="0" applyNumberFormat="1" applyFill="1" applyBorder="1"/>
    <xf numFmtId="10" fontId="0" fillId="4" borderId="1" xfId="0" applyNumberFormat="1" applyFill="1" applyBorder="1"/>
    <xf numFmtId="0" fontId="0" fillId="0" borderId="1" xfId="0" applyBorder="1" applyAlignment="1">
      <alignment wrapText="1"/>
    </xf>
    <xf numFmtId="0" fontId="5" fillId="0" borderId="1" xfId="3" applyBorder="1" applyAlignment="1">
      <alignment wrapText="1"/>
    </xf>
    <xf numFmtId="164" fontId="8" fillId="0" borderId="1" xfId="1" applyNumberFormat="1" applyFont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2" fontId="8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&amp; Net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Dashboard!$C$13</c:f>
              <c:strCache>
                <c:ptCount val="1"/>
                <c:pt idx="0">
                  <c:v>Net Profit (₹ 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Dashboard!$A$14:$A$16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Dashboard!$C$14:$C$16</c:f>
              <c:numCache>
                <c:formatCode>_ * #,##0_ ;_ * \-#,##0_ ;_ * "-"??_ ;_ @_ </c:formatCode>
                <c:ptCount val="3"/>
                <c:pt idx="0">
                  <c:v>26248</c:v>
                </c:pt>
                <c:pt idx="1">
                  <c:v>26750</c:v>
                </c:pt>
                <c:pt idx="2">
                  <c:v>29474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9-4503-A9BF-E60CF8F7E2EA}"/>
            </c:ext>
          </c:extLst>
        </c:ser>
        <c:ser>
          <c:idx val="0"/>
          <c:order val="0"/>
          <c:tx>
            <c:strRef>
              <c:f>Dashboard!$B$13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Dashboard!$A$14:$A$16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Dashboard!$B$14:$B$16</c:f>
              <c:numCache>
                <c:formatCode>_ * #,##0_ ;_ * \-#,##0_ ;_ * "-"??_ ;_ @_ </c:formatCode>
                <c:ptCount val="3"/>
                <c:pt idx="0">
                  <c:v>153670</c:v>
                </c:pt>
                <c:pt idx="1">
                  <c:v>162990</c:v>
                </c:pt>
                <c:pt idx="2">
                  <c:v>178650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9-4503-A9BF-E60CF8F7E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416304"/>
        <c:axId val="229840368"/>
      </c:barChart>
      <c:catAx>
        <c:axId val="23641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40368"/>
        <c:crosses val="autoZero"/>
        <c:auto val="1"/>
        <c:lblAlgn val="ctr"/>
        <c:lblOffset val="100"/>
        <c:noMultiLvlLbl val="1"/>
      </c:catAx>
      <c:valAx>
        <c:axId val="2298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Revenue Forecast</a:t>
            </a:r>
            <a:endParaRPr lang="en-US" sz="1600" b="1"/>
          </a:p>
        </c:rich>
      </c:tx>
      <c:layout>
        <c:manualLayout>
          <c:xMode val="edge"/>
          <c:yMode val="edge"/>
          <c:x val="0.33967344706911629"/>
          <c:y val="2.2948938611589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60892388451445"/>
          <c:y val="0.15319444444444447"/>
          <c:w val="0.8299466316710411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Dashboard!$B$19</c:f>
              <c:strCache>
                <c:ptCount val="1"/>
                <c:pt idx="0">
                  <c:v>Forecast Revenue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Dashboard!$A$20:$A$21</c:f>
              <c:strCache>
                <c:ptCount val="2"/>
                <c:pt idx="0">
                  <c:v>FY2027E</c:v>
                </c:pt>
                <c:pt idx="1">
                  <c:v>FY2028E</c:v>
                </c:pt>
              </c:strCache>
            </c:strRef>
          </c:cat>
          <c:val>
            <c:numRef>
              <c:f>Dashboard!$B$20:$B$21</c:f>
              <c:numCache>
                <c:formatCode>_ * #,##0_ ;_ * \-#,##0_ ;_ * "-"??_ ;_ @_ </c:formatCode>
                <c:ptCount val="2"/>
                <c:pt idx="0">
                  <c:v>192649.81414597682</c:v>
                </c:pt>
                <c:pt idx="1">
                  <c:v>207746.71643145487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1-4C95-832B-240A2DD47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8296048"/>
        <c:axId val="1601722256"/>
      </c:barChart>
      <c:catAx>
        <c:axId val="160829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722256"/>
        <c:crosses val="autoZero"/>
        <c:auto val="1"/>
        <c:lblAlgn val="ctr"/>
        <c:lblOffset val="100"/>
        <c:noMultiLvlLbl val="0"/>
      </c:catAx>
      <c:valAx>
        <c:axId val="1601722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9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60960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8C990-5C95-9DE6-E1BE-82DC9D83F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16</xdr:row>
      <xdr:rowOff>175260</xdr:rowOff>
    </xdr:from>
    <xdr:to>
      <xdr:col>11</xdr:col>
      <xdr:colOff>320040</xdr:colOff>
      <xdr:row>29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0EA66-3B6C-387C-E32C-3BA049404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2FD51-AB5D-48A1-A6A3-B3D64D3AA24B}" name="Table1" displayName="Table1" ref="A1:L4" totalsRowShown="0" headerRowDxfId="5">
  <autoFilter ref="A1:L4" xr:uid="{FB42FD51-AB5D-48A1-A6A3-B3D64D3AA24B}"/>
  <tableColumns count="12">
    <tableColumn id="1" xr3:uid="{25A8E85D-682F-43BA-8517-5524C2697635}" name="Financial Year"/>
    <tableColumn id="2" xr3:uid="{A5E7B063-56A7-43A1-99B3-8480DA2D3699}" name="Revenue (₹ Cr)"/>
    <tableColumn id="3" xr3:uid="{E369623B-8CA1-4939-9E45-BEE860204307}" name="Revenue Growth (%)">
      <calculatedColumnFormula>(B2-B1)/B1</calculatedColumnFormula>
    </tableColumn>
    <tableColumn id="4" xr3:uid="{03A8073F-E199-41F6-8B14-DC5360B09BEC}" name="Net Profit (₹ Cr)"/>
    <tableColumn id="5" xr3:uid="{C3C15A28-C943-4467-938A-3C3C0207A496}" name="Net Profit Margin (%)" dataDxfId="4" dataCellStyle="Percent">
      <calculatedColumnFormula>D2/B2</calculatedColumnFormula>
    </tableColumn>
    <tableColumn id="6" xr3:uid="{F2900C19-ABC6-4FD1-875F-48DE74C4A274}" name="Total Assets (₹ Cr)"/>
    <tableColumn id="7" xr3:uid="{913EDCF9-CB85-41BD-B1F5-4D3F8FA2B1D6}" name="Total Equity (₹ Cr)"/>
    <tableColumn id="8" xr3:uid="{73CC4025-D6C0-46E2-834D-D12788594B92}" name="Current Assets (₹ Cr)"/>
    <tableColumn id="9" xr3:uid="{FD9CA487-3097-4CEE-900D-C6F8E9AA1BDB}" name="Current Liabilities (₹ Cr)"/>
    <tableColumn id="10" xr3:uid="{80129708-3F94-46E1-AFF2-5B02E09136E5}" name="Current Ratio (x)" dataDxfId="3">
      <calculatedColumnFormula>H2/I2</calculatedColumnFormula>
    </tableColumn>
    <tableColumn id="11" xr3:uid="{6C9193BB-3C55-4D69-93B3-0CC5A17D36B5}" name="ROA (%)" dataDxfId="2" dataCellStyle="Percent">
      <calculatedColumnFormula>D2/F2</calculatedColumnFormula>
    </tableColumn>
    <tableColumn id="12" xr3:uid="{F1CD2A44-39FD-433D-AEBC-204EE90218AE}" name="ROE (%)" dataDxfId="1" dataCellStyle="Percent">
      <calculatedColumnFormula>D2/G2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fosys.com/investors/reports-filings/annual-report/annual/documents/infosys-ar-26.pdf?utm_source=chatgpt.com" TargetMode="External"/><Relationship Id="rId1" Type="http://schemas.openxmlformats.org/officeDocument/2006/relationships/hyperlink" Target="https://www.infosys.com/investors/reports-filings/financials/data-sheet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3716-9BB8-4D90-BC49-9707B6C0C3E6}">
  <dimension ref="A1:L4"/>
  <sheetViews>
    <sheetView tabSelected="1" zoomScale="94" zoomScaleNormal="94" workbookViewId="0">
      <selection activeCell="C17" sqref="C17"/>
    </sheetView>
  </sheetViews>
  <sheetFormatPr defaultRowHeight="14.4" x14ac:dyDescent="0.3"/>
  <cols>
    <col min="1" max="1" width="14.6640625" style="1" customWidth="1"/>
    <col min="2" max="2" width="15.33203125" style="1" customWidth="1"/>
    <col min="3" max="3" width="20" style="1" customWidth="1"/>
    <col min="4" max="4" width="15.88671875" style="1" customWidth="1"/>
    <col min="5" max="5" width="20.109375" style="1" customWidth="1"/>
    <col min="6" max="6" width="18.33203125" style="1" customWidth="1"/>
    <col min="7" max="7" width="17.77734375" style="1" customWidth="1"/>
    <col min="8" max="8" width="20.5546875" style="1" customWidth="1"/>
    <col min="9" max="9" width="23.21875" style="1" customWidth="1"/>
    <col min="10" max="10" width="16.6640625" style="1" customWidth="1"/>
    <col min="11" max="11" width="9.77734375" style="1" customWidth="1"/>
    <col min="12" max="12" width="9.6640625" style="1" customWidth="1"/>
    <col min="13" max="16384" width="8.88671875" style="1"/>
  </cols>
  <sheetData>
    <row r="1" spans="1:12" s="8" customForma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1" t="s">
        <v>12</v>
      </c>
      <c r="B2">
        <v>153670</v>
      </c>
      <c r="C2" s="2"/>
      <c r="D2">
        <v>26248</v>
      </c>
      <c r="E2" s="3">
        <f>D2/B2</f>
        <v>0.17080757467300059</v>
      </c>
      <c r="F2">
        <v>137814</v>
      </c>
      <c r="G2">
        <v>88461</v>
      </c>
      <c r="H2">
        <v>89432</v>
      </c>
      <c r="I2">
        <v>38794</v>
      </c>
      <c r="J2" s="4">
        <f>H2/I2</f>
        <v>2.3053049440635149</v>
      </c>
      <c r="K2" s="3">
        <f>D2/F2</f>
        <v>0.19045960497482115</v>
      </c>
      <c r="L2" s="3">
        <f>D2/G2</f>
        <v>0.29671832785069124</v>
      </c>
    </row>
    <row r="3" spans="1:12" x14ac:dyDescent="0.3">
      <c r="A3" t="s">
        <v>13</v>
      </c>
      <c r="B3">
        <v>162990</v>
      </c>
      <c r="C3" s="3">
        <f>(B3-B2)/B2</f>
        <v>6.064944361293681E-2</v>
      </c>
      <c r="D3">
        <v>26750</v>
      </c>
      <c r="E3" s="3">
        <f>D3/B3</f>
        <v>0.16412049819007302</v>
      </c>
      <c r="F3">
        <v>148903</v>
      </c>
      <c r="G3">
        <v>96203</v>
      </c>
      <c r="H3">
        <v>97099</v>
      </c>
      <c r="I3">
        <v>42850</v>
      </c>
      <c r="J3" s="4">
        <f>H3/I3</f>
        <v>2.2660210035005832</v>
      </c>
      <c r="K3" s="3">
        <f>D3/F3</f>
        <v>0.17964715284446922</v>
      </c>
      <c r="L3" s="3">
        <f>D3/G3</f>
        <v>0.2780578568235918</v>
      </c>
    </row>
    <row r="4" spans="1:12" x14ac:dyDescent="0.3">
      <c r="A4" t="s">
        <v>14</v>
      </c>
      <c r="B4">
        <v>178650</v>
      </c>
      <c r="C4" s="3">
        <f>(B4-B3)/B3</f>
        <v>9.6079514080618447E-2</v>
      </c>
      <c r="D4">
        <v>29474</v>
      </c>
      <c r="E4" s="3">
        <f>D4/B4</f>
        <v>0.16498180800447804</v>
      </c>
      <c r="F4">
        <v>155967</v>
      </c>
      <c r="G4">
        <v>93297</v>
      </c>
      <c r="H4">
        <v>103489</v>
      </c>
      <c r="I4">
        <v>52322</v>
      </c>
      <c r="J4" s="4">
        <f>H4/I4</f>
        <v>1.977925155766217</v>
      </c>
      <c r="K4" s="3">
        <f>D4/F4</f>
        <v>0.18897587310136119</v>
      </c>
      <c r="L4" s="3">
        <f>D4/G4</f>
        <v>0.31591583866576634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5C15-2CE1-4D73-8785-C471A8FC3E82}">
  <dimension ref="A1:H11"/>
  <sheetViews>
    <sheetView workbookViewId="0">
      <selection activeCell="B1" sqref="B1"/>
    </sheetView>
  </sheetViews>
  <sheetFormatPr defaultRowHeight="14.4" x14ac:dyDescent="0.3"/>
  <cols>
    <col min="1" max="1" width="20.109375" customWidth="1"/>
    <col min="2" max="2" width="93.44140625" customWidth="1"/>
    <col min="3" max="3" width="19.44140625" customWidth="1"/>
    <col min="4" max="4" width="15.6640625" customWidth="1"/>
    <col min="5" max="5" width="19.88671875" customWidth="1"/>
    <col min="6" max="6" width="16.33203125" customWidth="1"/>
    <col min="7" max="7" width="9.6640625" customWidth="1"/>
    <col min="8" max="8" width="9.5546875" customWidth="1"/>
  </cols>
  <sheetData>
    <row r="1" spans="1:8" x14ac:dyDescent="0.3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9</v>
      </c>
      <c r="G1" s="31" t="s">
        <v>10</v>
      </c>
      <c r="H1" s="32" t="s">
        <v>11</v>
      </c>
    </row>
    <row r="2" spans="1:8" x14ac:dyDescent="0.3">
      <c r="A2" s="33" t="s">
        <v>12</v>
      </c>
      <c r="B2" s="33">
        <f>'Raw Data'!B2</f>
        <v>153670</v>
      </c>
      <c r="C2" s="34"/>
      <c r="D2" s="33">
        <f>'Raw Data'!D2</f>
        <v>26248</v>
      </c>
      <c r="E2" s="35">
        <f>'Raw Data'!E2</f>
        <v>0.17080757467300059</v>
      </c>
      <c r="F2" s="36">
        <f>'Raw Data'!J2</f>
        <v>2.3053049440635149</v>
      </c>
      <c r="G2" s="35">
        <f>'Raw Data'!K2</f>
        <v>0.19045960497482115</v>
      </c>
      <c r="H2" s="37">
        <f>'Raw Data'!L2</f>
        <v>0.29671832785069124</v>
      </c>
    </row>
    <row r="3" spans="1:8" x14ac:dyDescent="0.3">
      <c r="A3" s="38" t="s">
        <v>13</v>
      </c>
      <c r="B3" s="38">
        <f>'Raw Data'!B3</f>
        <v>162990</v>
      </c>
      <c r="C3" s="39">
        <f>'Raw Data'!C3</f>
        <v>6.064944361293681E-2</v>
      </c>
      <c r="D3" s="38">
        <f>'Raw Data'!D3</f>
        <v>26750</v>
      </c>
      <c r="E3" s="39">
        <f>'Raw Data'!E3</f>
        <v>0.16412049819007302</v>
      </c>
      <c r="F3" s="40">
        <f>'Raw Data'!J3</f>
        <v>2.2660210035005832</v>
      </c>
      <c r="G3" s="39">
        <f>'Raw Data'!K3</f>
        <v>0.17964715284446922</v>
      </c>
      <c r="H3" s="41">
        <f>'Raw Data'!L3</f>
        <v>0.2780578568235918</v>
      </c>
    </row>
    <row r="4" spans="1:8" x14ac:dyDescent="0.3">
      <c r="A4" s="42" t="s">
        <v>14</v>
      </c>
      <c r="B4" s="42">
        <f>'Raw Data'!B4</f>
        <v>178650</v>
      </c>
      <c r="C4" s="43">
        <f>'Raw Data'!C4</f>
        <v>9.6079514080618447E-2</v>
      </c>
      <c r="D4" s="42">
        <f>'Raw Data'!D4</f>
        <v>29474</v>
      </c>
      <c r="E4" s="43">
        <f>'Raw Data'!E4</f>
        <v>0.16498180800447804</v>
      </c>
      <c r="F4" s="44">
        <f>'Raw Data'!J4</f>
        <v>1.977925155766217</v>
      </c>
      <c r="G4" s="43">
        <f>'Raw Data'!K4</f>
        <v>0.18897587310136119</v>
      </c>
      <c r="H4" s="45">
        <f>'Raw Data'!L4</f>
        <v>0.31591583866576634</v>
      </c>
    </row>
    <row r="6" spans="1:8" x14ac:dyDescent="0.3">
      <c r="A6" s="6" t="s">
        <v>25</v>
      </c>
    </row>
    <row r="7" spans="1:8" x14ac:dyDescent="0.3">
      <c r="A7" t="s">
        <v>15</v>
      </c>
      <c r="B7" t="s">
        <v>20</v>
      </c>
    </row>
    <row r="8" spans="1:8" x14ac:dyDescent="0.3">
      <c r="A8" t="s">
        <v>16</v>
      </c>
      <c r="B8" t="s">
        <v>21</v>
      </c>
    </row>
    <row r="9" spans="1:8" x14ac:dyDescent="0.3">
      <c r="A9" t="s">
        <v>17</v>
      </c>
      <c r="B9" t="s">
        <v>22</v>
      </c>
    </row>
    <row r="10" spans="1:8" x14ac:dyDescent="0.3">
      <c r="A10" t="s">
        <v>18</v>
      </c>
      <c r="B10" t="s">
        <v>23</v>
      </c>
    </row>
    <row r="11" spans="1:8" x14ac:dyDescent="0.3">
      <c r="A11" t="s">
        <v>19</v>
      </c>
      <c r="B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CFB1-72DF-4F29-9F89-78095BD7B528}">
  <dimension ref="A1:F6"/>
  <sheetViews>
    <sheetView workbookViewId="0">
      <selection activeCell="D12" sqref="D12"/>
    </sheetView>
  </sheetViews>
  <sheetFormatPr defaultRowHeight="14.4" x14ac:dyDescent="0.3"/>
  <cols>
    <col min="1" max="1" width="14.21875" customWidth="1"/>
    <col min="2" max="2" width="14.44140625" customWidth="1"/>
    <col min="3" max="3" width="15.77734375" customWidth="1"/>
    <col min="4" max="4" width="21.88671875" customWidth="1"/>
    <col min="5" max="5" width="19.21875" customWidth="1"/>
    <col min="6" max="6" width="22.5546875" customWidth="1"/>
  </cols>
  <sheetData>
    <row r="1" spans="1:6" ht="15" thickBot="1" x14ac:dyDescent="0.35">
      <c r="A1" s="12" t="s">
        <v>0</v>
      </c>
      <c r="B1" s="12" t="s">
        <v>1</v>
      </c>
      <c r="C1" s="12" t="s">
        <v>26</v>
      </c>
      <c r="D1" s="12" t="s">
        <v>27</v>
      </c>
      <c r="E1" s="12" t="s">
        <v>4</v>
      </c>
      <c r="F1" s="13" t="s">
        <v>28</v>
      </c>
    </row>
    <row r="2" spans="1:6" x14ac:dyDescent="0.3">
      <c r="A2" s="14" t="s">
        <v>12</v>
      </c>
      <c r="B2" s="14">
        <f>'Raw Data'!B2</f>
        <v>153670</v>
      </c>
      <c r="C2" s="15"/>
      <c r="D2" s="14"/>
      <c r="E2" s="14"/>
      <c r="F2" s="16"/>
    </row>
    <row r="3" spans="1:6" x14ac:dyDescent="0.3">
      <c r="A3" s="17" t="s">
        <v>13</v>
      </c>
      <c r="B3" s="17">
        <f>'Raw Data'!B3</f>
        <v>162990</v>
      </c>
      <c r="C3" s="18">
        <f>'Raw Data'!C3</f>
        <v>6.064944361293681E-2</v>
      </c>
      <c r="D3" s="17"/>
      <c r="E3" s="17"/>
      <c r="F3" s="19"/>
    </row>
    <row r="4" spans="1:6" x14ac:dyDescent="0.3">
      <c r="A4" s="20" t="s">
        <v>14</v>
      </c>
      <c r="B4" s="20">
        <f>'Raw Data'!B4</f>
        <v>178650</v>
      </c>
      <c r="C4" s="21">
        <f>'Raw Data'!C4</f>
        <v>9.6079514080618447E-2</v>
      </c>
      <c r="D4" s="20"/>
      <c r="E4" s="20"/>
      <c r="F4" s="22"/>
    </row>
    <row r="5" spans="1:6" x14ac:dyDescent="0.3">
      <c r="A5" s="23" t="s">
        <v>29</v>
      </c>
      <c r="B5" s="23"/>
      <c r="C5" s="24">
        <f>AVERAGE(C3:C4)</f>
        <v>7.8364478846777635E-2</v>
      </c>
      <c r="D5" s="25">
        <f>B4*(1+C5)</f>
        <v>192649.81414597682</v>
      </c>
      <c r="E5" s="24">
        <f>AVERAGE('Raw Data'!E2:E4)</f>
        <v>0.16663662695585055</v>
      </c>
      <c r="F5" s="26">
        <f>D5*E5</f>
        <v>32102.515212957078</v>
      </c>
    </row>
    <row r="6" spans="1:6" x14ac:dyDescent="0.3">
      <c r="A6" s="27" t="s">
        <v>30</v>
      </c>
      <c r="B6" s="27"/>
      <c r="C6" s="28">
        <f>C5</f>
        <v>7.8364478846777635E-2</v>
      </c>
      <c r="D6" s="29">
        <f>D5*(1+C6)</f>
        <v>207746.71643145487</v>
      </c>
      <c r="E6" s="28">
        <f>E5</f>
        <v>0.16663662695585055</v>
      </c>
      <c r="F6" s="30">
        <f>D6*E6</f>
        <v>34618.212087291213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EA22-E415-47DE-B493-6ADD6D98AA97}">
  <dimension ref="A1:C38"/>
  <sheetViews>
    <sheetView topLeftCell="A15" workbookViewId="0">
      <selection activeCell="B14" sqref="B14"/>
    </sheetView>
  </sheetViews>
  <sheetFormatPr defaultRowHeight="14.4" x14ac:dyDescent="0.3"/>
  <cols>
    <col min="1" max="1" width="63.44140625" bestFit="1" customWidth="1"/>
    <col min="2" max="2" width="20.6640625" bestFit="1" customWidth="1"/>
    <col min="3" max="3" width="21.6640625" bestFit="1" customWidth="1"/>
  </cols>
  <sheetData>
    <row r="1" spans="1:3" ht="23.4" x14ac:dyDescent="0.45">
      <c r="A1" s="51" t="s">
        <v>31</v>
      </c>
      <c r="B1" s="51"/>
      <c r="C1" s="51"/>
    </row>
    <row r="3" spans="1:3" x14ac:dyDescent="0.3">
      <c r="A3" s="52" t="s">
        <v>32</v>
      </c>
      <c r="B3" s="52"/>
    </row>
    <row r="4" spans="1:3" ht="15.6" x14ac:dyDescent="0.3">
      <c r="A4" s="5" t="s">
        <v>33</v>
      </c>
      <c r="B4" s="48">
        <f>'Raw Data'!B4</f>
        <v>178650</v>
      </c>
    </row>
    <row r="5" spans="1:3" ht="15.6" x14ac:dyDescent="0.3">
      <c r="A5" s="5" t="s">
        <v>34</v>
      </c>
      <c r="B5" s="48">
        <f>'Raw Data'!D4</f>
        <v>29474</v>
      </c>
    </row>
    <row r="6" spans="1:3" ht="15.6" x14ac:dyDescent="0.3">
      <c r="A6" s="5" t="s">
        <v>35</v>
      </c>
      <c r="B6" s="49">
        <f>'Raw Data'!C4</f>
        <v>9.6079514080618447E-2</v>
      </c>
    </row>
    <row r="7" spans="1:3" ht="15.6" x14ac:dyDescent="0.3">
      <c r="A7" s="5" t="s">
        <v>36</v>
      </c>
      <c r="B7" s="49">
        <f>'Raw Data'!E4</f>
        <v>0.16498180800447804</v>
      </c>
    </row>
    <row r="8" spans="1:3" ht="15.6" x14ac:dyDescent="0.3">
      <c r="A8" s="5" t="s">
        <v>37</v>
      </c>
      <c r="B8" s="50">
        <f>'Raw Data'!J4</f>
        <v>1.977925155766217</v>
      </c>
    </row>
    <row r="9" spans="1:3" ht="15.6" x14ac:dyDescent="0.3">
      <c r="A9" s="5" t="s">
        <v>38</v>
      </c>
      <c r="B9" s="49">
        <f>'Raw Data'!K4</f>
        <v>0.18897587310136119</v>
      </c>
    </row>
    <row r="10" spans="1:3" ht="15.6" x14ac:dyDescent="0.3">
      <c r="A10" s="5" t="s">
        <v>39</v>
      </c>
      <c r="B10" s="49">
        <f>'Raw Data'!L4</f>
        <v>0.31591583866576634</v>
      </c>
    </row>
    <row r="12" spans="1:3" x14ac:dyDescent="0.3">
      <c r="A12" s="53" t="s">
        <v>40</v>
      </c>
      <c r="B12" s="53"/>
      <c r="C12" s="53"/>
    </row>
    <row r="13" spans="1:3" x14ac:dyDescent="0.3">
      <c r="A13" s="11" t="s">
        <v>0</v>
      </c>
      <c r="B13" s="11" t="s">
        <v>1</v>
      </c>
      <c r="C13" s="11" t="s">
        <v>3</v>
      </c>
    </row>
    <row r="14" spans="1:3" x14ac:dyDescent="0.3">
      <c r="A14" s="5" t="s">
        <v>12</v>
      </c>
      <c r="B14" s="10">
        <f>'Raw Data'!B2</f>
        <v>153670</v>
      </c>
      <c r="C14" s="10">
        <f>'Raw Data'!D2</f>
        <v>26248</v>
      </c>
    </row>
    <row r="15" spans="1:3" x14ac:dyDescent="0.3">
      <c r="A15" s="5" t="s">
        <v>13</v>
      </c>
      <c r="B15" s="10">
        <f>'Raw Data'!B3</f>
        <v>162990</v>
      </c>
      <c r="C15" s="10">
        <f>'Raw Data'!D3</f>
        <v>26750</v>
      </c>
    </row>
    <row r="16" spans="1:3" x14ac:dyDescent="0.3">
      <c r="A16" s="5" t="s">
        <v>14</v>
      </c>
      <c r="B16" s="10">
        <f>'Raw Data'!B4</f>
        <v>178650</v>
      </c>
      <c r="C16" s="10">
        <f>'Raw Data'!D4</f>
        <v>29474</v>
      </c>
    </row>
    <row r="18" spans="1:3" x14ac:dyDescent="0.3">
      <c r="A18" s="53" t="s">
        <v>41</v>
      </c>
      <c r="B18" s="53"/>
      <c r="C18" s="53"/>
    </row>
    <row r="19" spans="1:3" x14ac:dyDescent="0.3">
      <c r="A19" s="11" t="s">
        <v>0</v>
      </c>
      <c r="B19" s="11" t="s">
        <v>27</v>
      </c>
      <c r="C19" s="11" t="s">
        <v>28</v>
      </c>
    </row>
    <row r="20" spans="1:3" x14ac:dyDescent="0.3">
      <c r="A20" s="5" t="s">
        <v>29</v>
      </c>
      <c r="B20" s="10">
        <f>Forecast!D5</f>
        <v>192649.81414597682</v>
      </c>
      <c r="C20" s="10">
        <f>Forecast!F5</f>
        <v>32102.515212957078</v>
      </c>
    </row>
    <row r="21" spans="1:3" x14ac:dyDescent="0.3">
      <c r="A21" s="5" t="s">
        <v>30</v>
      </c>
      <c r="B21" s="10">
        <f>Forecast!D6</f>
        <v>207746.71643145487</v>
      </c>
      <c r="C21" s="10">
        <f>Forecast!F6</f>
        <v>34618.212087291213</v>
      </c>
    </row>
    <row r="33" spans="1:2" x14ac:dyDescent="0.3">
      <c r="A33" s="7" t="s">
        <v>42</v>
      </c>
      <c r="B33" s="7"/>
    </row>
    <row r="34" spans="1:2" x14ac:dyDescent="0.3">
      <c r="A34" s="7" t="s">
        <v>43</v>
      </c>
      <c r="B34" s="7"/>
    </row>
    <row r="35" spans="1:2" x14ac:dyDescent="0.3">
      <c r="A35" s="7" t="s">
        <v>44</v>
      </c>
      <c r="B35" s="7"/>
    </row>
    <row r="36" spans="1:2" x14ac:dyDescent="0.3">
      <c r="A36" s="7" t="s">
        <v>45</v>
      </c>
      <c r="B36" s="7"/>
    </row>
    <row r="37" spans="1:2" x14ac:dyDescent="0.3">
      <c r="A37" s="7" t="s">
        <v>46</v>
      </c>
      <c r="B37" s="7"/>
    </row>
    <row r="38" spans="1:2" x14ac:dyDescent="0.3">
      <c r="A38" s="7" t="s">
        <v>47</v>
      </c>
      <c r="B38" s="7"/>
    </row>
  </sheetData>
  <mergeCells count="4">
    <mergeCell ref="A1:C1"/>
    <mergeCell ref="A3:B3"/>
    <mergeCell ref="A12:C12"/>
    <mergeCell ref="A18:C18"/>
  </mergeCells>
  <conditionalFormatting sqref="A33:A38">
    <cfRule type="containsText" dxfId="0" priority="1" operator="containsText" text="Key Takeaways">
      <formula>NOT(ISERROR(SEARCH("Key Takeaways",A33)))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0BAA-9C2C-4228-A9AC-DC4076CBF793}">
  <dimension ref="A1:B11"/>
  <sheetViews>
    <sheetView workbookViewId="0">
      <selection activeCell="B7" sqref="B7"/>
    </sheetView>
  </sheetViews>
  <sheetFormatPr defaultRowHeight="14.4" x14ac:dyDescent="0.3"/>
  <cols>
    <col min="1" max="1" width="20.33203125" bestFit="1" customWidth="1"/>
    <col min="2" max="2" width="38.6640625" bestFit="1" customWidth="1"/>
  </cols>
  <sheetData>
    <row r="1" spans="1:2" ht="21" x14ac:dyDescent="0.4">
      <c r="A1" s="54" t="s">
        <v>48</v>
      </c>
      <c r="B1" s="54"/>
    </row>
    <row r="2" spans="1:2" x14ac:dyDescent="0.3">
      <c r="A2" s="6"/>
    </row>
    <row r="3" spans="1:2" x14ac:dyDescent="0.3">
      <c r="A3" s="11" t="s">
        <v>49</v>
      </c>
      <c r="B3" s="46" t="s">
        <v>50</v>
      </c>
    </row>
    <row r="4" spans="1:2" x14ac:dyDescent="0.3">
      <c r="A4" s="11" t="s">
        <v>51</v>
      </c>
      <c r="B4" s="46" t="s">
        <v>52</v>
      </c>
    </row>
    <row r="5" spans="1:2" x14ac:dyDescent="0.3">
      <c r="A5" s="11" t="s">
        <v>53</v>
      </c>
      <c r="B5" s="46" t="s">
        <v>54</v>
      </c>
    </row>
    <row r="6" spans="1:2" x14ac:dyDescent="0.3">
      <c r="A6" s="11"/>
      <c r="B6" s="46"/>
    </row>
    <row r="7" spans="1:2" x14ac:dyDescent="0.3">
      <c r="A7" s="11" t="s">
        <v>55</v>
      </c>
      <c r="B7" s="47" t="s">
        <v>56</v>
      </c>
    </row>
    <row r="8" spans="1:2" x14ac:dyDescent="0.3">
      <c r="A8" s="11" t="s">
        <v>57</v>
      </c>
      <c r="B8" s="47" t="s">
        <v>58</v>
      </c>
    </row>
    <row r="9" spans="1:2" x14ac:dyDescent="0.3">
      <c r="A9" s="11"/>
      <c r="B9" s="46"/>
    </row>
    <row r="10" spans="1:2" x14ac:dyDescent="0.3">
      <c r="A10" s="11" t="s">
        <v>59</v>
      </c>
      <c r="B10" s="46" t="s">
        <v>60</v>
      </c>
    </row>
    <row r="11" spans="1:2" x14ac:dyDescent="0.3">
      <c r="A11" s="11" t="s">
        <v>61</v>
      </c>
      <c r="B11" s="46" t="s">
        <v>62</v>
      </c>
    </row>
  </sheetData>
  <mergeCells count="1">
    <mergeCell ref="A1:B1"/>
  </mergeCells>
  <hyperlinks>
    <hyperlink ref="B7" r:id="rId1" xr:uid="{D97D49D3-6143-4E16-BE1E-1C36A67107BC}"/>
    <hyperlink ref="B8" r:id="rId2" xr:uid="{4E3DDFCB-6FA8-43C4-9848-43398C387D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Analysis</vt:lpstr>
      <vt:lpstr>Forecast</vt:lpstr>
      <vt:lpstr>Dashboard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tulsivarma.09@outlook.com</dc:creator>
  <cp:lastModifiedBy>dhruvvarma17@gmail.com</cp:lastModifiedBy>
  <dcterms:created xsi:type="dcterms:W3CDTF">2026-09-02T12:09:20Z</dcterms:created>
  <dcterms:modified xsi:type="dcterms:W3CDTF">2026-09-07T11:30:58Z</dcterms:modified>
</cp:coreProperties>
</file>